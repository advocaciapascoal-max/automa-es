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56 CALCULOS INI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horizontal="right"/>
    </xf>
    <xf numFmtId="0" fontId="0" fillId="2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cols>
    <col width="16" customWidth="1" min="1" max="1"/>
    <col width="62" customWidth="1" min="2" max="2"/>
    <col width="16" customWidth="1" min="4" max="4"/>
  </cols>
  <sheetData>
    <row r="1">
      <c r="A1" s="1" t="inlineStr">
        <is>
          <t>PEDIDOS</t>
        </is>
      </c>
      <c r="D1" s="2" t="n"/>
    </row>
    <row r="2">
      <c r="A2" s="1" t="inlineStr">
        <is>
          <t>RESUMO DOS PEDIDOS</t>
        </is>
      </c>
      <c r="D2" s="2" t="n"/>
    </row>
    <row r="3">
      <c r="B3" t="inlineStr">
        <is>
          <t>DO JUÍZO 100% DIGITAL E DA REALIZAÇÃO DE AUDIÊNCIAS DE FORMA TELEPRESENCIAL</t>
        </is>
      </c>
      <c r="D3" s="2" t="n"/>
    </row>
    <row r="4">
      <c r="A4" s="3" t="inlineStr">
        <is>
          <t>A</t>
        </is>
      </c>
      <c r="B4" t="inlineStr">
        <is>
          <t>Benefícios da gratuidade judiciária</t>
        </is>
      </c>
      <c r="D4" s="2" t="inlineStr">
        <is>
          <t>Declaratório</t>
        </is>
      </c>
    </row>
    <row r="5">
      <c r="A5" s="3" t="inlineStr">
        <is>
          <t>B</t>
        </is>
      </c>
      <c r="B5" t="inlineStr">
        <is>
          <t>Do grupo econômico de empresas</t>
        </is>
      </c>
      <c r="D5" s="2" t="inlineStr">
        <is>
          <t>Declaratório</t>
        </is>
      </c>
    </row>
    <row r="6">
      <c r="A6" s="3" t="inlineStr">
        <is>
          <t>C0</t>
        </is>
      </c>
      <c r="B6" t="inlineStr">
        <is>
          <t>Nulidade do enquadramento no art. 62, I, da CLT</t>
        </is>
      </c>
      <c r="D6" s="2" t="inlineStr">
        <is>
          <t>Declaratório</t>
        </is>
      </c>
    </row>
    <row r="7">
      <c r="D7" s="2" t="n"/>
    </row>
    <row r="8">
      <c r="A8" s="3" t="inlineStr">
        <is>
          <t>PARÂMETROS</t>
        </is>
      </c>
      <c r="B8" s="4" t="n"/>
      <c r="D8" s="2" t="n"/>
    </row>
    <row r="9">
      <c r="B9" t="inlineStr">
        <is>
          <t>Salário-base</t>
        </is>
      </c>
      <c r="D9" s="5" t="n">
        <v>2964.6</v>
      </c>
    </row>
    <row r="10">
      <c r="B10" t="inlineStr">
        <is>
          <t>Adicional de periculosidade 30%</t>
        </is>
      </c>
      <c r="D10" s="5" t="n">
        <v>889.38</v>
      </c>
    </row>
    <row r="11">
      <c r="B11" t="inlineStr">
        <is>
          <t>Comissões (média mensal)</t>
        </is>
      </c>
      <c r="D11" s="5" t="n">
        <v>486.68</v>
      </c>
    </row>
    <row r="12">
      <c r="B12" t="inlineStr">
        <is>
          <t>Remuneração (salário + peric.)</t>
        </is>
      </c>
      <c r="D12" s="5" t="n">
        <v>3853.98</v>
      </c>
    </row>
    <row r="13">
      <c r="B13" t="inlineStr">
        <is>
          <t>Hora extra 50% ((rem.+comissões)/220*1,5)</t>
        </is>
      </c>
      <c r="D13" s="5" t="n">
        <v>29.59540909090909</v>
      </c>
    </row>
    <row r="14">
      <c r="B14" t="inlineStr">
        <is>
          <t>Valor do dia (rem./220*8)</t>
        </is>
      </c>
      <c r="D14" s="5" t="n">
        <v>140.1447272727273</v>
      </c>
    </row>
    <row r="15">
      <c r="B15" t="inlineStr">
        <is>
          <t>Hora de espera (rem./220*0,3)</t>
        </is>
      </c>
      <c r="D15" s="5" t="n">
        <v>5.255427272727272</v>
      </c>
    </row>
    <row r="16">
      <c r="B16" t="inlineStr">
        <is>
          <t>Meses do contrato</t>
        </is>
      </c>
      <c r="D16" s="5" t="n">
        <v>16</v>
      </c>
    </row>
    <row r="17">
      <c r="D17" s="2" t="n"/>
    </row>
    <row r="18">
      <c r="A18" s="3" t="inlineStr">
        <is>
          <t>C</t>
        </is>
      </c>
      <c r="B18" t="inlineStr">
        <is>
          <t>Integração das comissões sobre:</t>
        </is>
      </c>
      <c r="D18" s="2" t="n"/>
    </row>
    <row r="19">
      <c r="B19" t="inlineStr">
        <is>
          <t>Reflexos sobre:</t>
        </is>
      </c>
      <c r="D19" s="2" t="n"/>
    </row>
    <row r="20">
      <c r="A20" s="3" t="inlineStr">
        <is>
          <t>C1</t>
        </is>
      </c>
      <c r="B20" t="inlineStr">
        <is>
          <t>DSR</t>
        </is>
      </c>
      <c r="D20" s="5" t="n">
        <v>1038.250666666667</v>
      </c>
    </row>
    <row r="21">
      <c r="A21" s="3" t="inlineStr">
        <is>
          <t>C2</t>
        </is>
      </c>
      <c r="B21" t="inlineStr">
        <is>
          <t>13º Salário Proporcional (10/12) 2025</t>
        </is>
      </c>
      <c r="D21" s="5" t="n">
        <v>405.5666666666667</v>
      </c>
    </row>
    <row r="22">
      <c r="A22" s="3" t="inlineStr">
        <is>
          <t>C3</t>
        </is>
      </c>
      <c r="B22" t="inlineStr">
        <is>
          <t>13º Salário Proporcional (07/12) 2026</t>
        </is>
      </c>
      <c r="D22" s="5" t="n">
        <v>283.8966666666666</v>
      </c>
    </row>
    <row r="23">
      <c r="A23" s="3" t="inlineStr">
        <is>
          <t>C4</t>
        </is>
      </c>
      <c r="B23" t="inlineStr">
        <is>
          <t>Férias + 1/3 2025/2026</t>
        </is>
      </c>
      <c r="D23" s="5" t="n">
        <v>648.7444399999999</v>
      </c>
    </row>
    <row r="24">
      <c r="A24" s="3" t="inlineStr">
        <is>
          <t>C5</t>
        </is>
      </c>
      <c r="B24" t="inlineStr">
        <is>
          <t>Férias proporcionais + 1/3 05/12</t>
        </is>
      </c>
      <c r="D24" s="5" t="n">
        <v>270.3101833333333</v>
      </c>
    </row>
    <row r="25">
      <c r="A25" s="3" t="inlineStr">
        <is>
          <t>C6</t>
        </is>
      </c>
      <c r="B25" t="inlineStr">
        <is>
          <t>FGTS + 40%</t>
        </is>
      </c>
      <c r="D25" s="5" t="n">
        <v>296.4380858133333</v>
      </c>
    </row>
    <row r="26">
      <c r="A26" s="3" t="inlineStr">
        <is>
          <t>C7</t>
        </is>
      </c>
      <c r="B26" t="inlineStr">
        <is>
          <t>Adicional de periculosidade</t>
        </is>
      </c>
      <c r="D26" s="5" t="n">
        <v>2336.064</v>
      </c>
    </row>
    <row r="27">
      <c r="A27" s="1" t="inlineStr">
        <is>
          <t>SUBTOTAL</t>
        </is>
      </c>
      <c r="D27" s="6">
        <f>SUM(D18:D26)</f>
        <v/>
      </c>
    </row>
    <row r="28">
      <c r="D28" s="2" t="n"/>
    </row>
    <row r="29">
      <c r="A29" s="3" t="inlineStr">
        <is>
          <t>D</t>
        </is>
      </c>
      <c r="B29" t="inlineStr">
        <is>
          <t>Horas extras (calculadas com a integração das comissões)</t>
        </is>
      </c>
      <c r="D29" s="5" t="n">
        <v>96599.41527272727</v>
      </c>
    </row>
    <row r="30">
      <c r="B30" t="inlineStr">
        <is>
          <t>Reflexos sobre:</t>
        </is>
      </c>
      <c r="D30" s="2" t="n"/>
    </row>
    <row r="31">
      <c r="A31" s="3" t="inlineStr">
        <is>
          <t>D1</t>
        </is>
      </c>
      <c r="B31" t="inlineStr">
        <is>
          <t>DSR</t>
        </is>
      </c>
      <c r="D31" s="5" t="n">
        <v>12879.92203636364</v>
      </c>
    </row>
    <row r="32">
      <c r="A32" s="3" t="inlineStr">
        <is>
          <t>D2</t>
        </is>
      </c>
      <c r="B32" t="inlineStr">
        <is>
          <t>13º Salário Proporcional (10/12) 2025</t>
        </is>
      </c>
      <c r="D32" s="5" t="n">
        <v>5031.219545454545</v>
      </c>
    </row>
    <row r="33">
      <c r="A33" s="3" t="inlineStr">
        <is>
          <t>D3</t>
        </is>
      </c>
      <c r="B33" t="inlineStr">
        <is>
          <t>13º Salário Proporcional (07/12) 2026</t>
        </is>
      </c>
      <c r="D33" s="5" t="n">
        <v>3521.853681818182</v>
      </c>
    </row>
    <row r="34">
      <c r="A34" s="3" t="inlineStr">
        <is>
          <t>D4</t>
        </is>
      </c>
      <c r="B34" t="inlineStr">
        <is>
          <t>Férias + 1/3 2025/2026</t>
        </is>
      </c>
      <c r="D34" s="5" t="n">
        <v>8047.938784909091</v>
      </c>
    </row>
    <row r="35">
      <c r="A35" s="3" t="inlineStr">
        <is>
          <t>D5</t>
        </is>
      </c>
      <c r="B35" t="inlineStr">
        <is>
          <t>Férias proporcionais + 1/3 05/12</t>
        </is>
      </c>
      <c r="D35" s="5" t="n">
        <v>3353.307827045455</v>
      </c>
    </row>
    <row r="36">
      <c r="A36" s="3" t="inlineStr">
        <is>
          <t>D6</t>
        </is>
      </c>
      <c r="B36" t="inlineStr">
        <is>
          <t>FGTS + 40%</t>
        </is>
      </c>
      <c r="D36" s="5" t="n">
        <v>3677.435090066182</v>
      </c>
    </row>
    <row r="37">
      <c r="A37" s="1" t="inlineStr">
        <is>
          <t>SUBTOTAL</t>
        </is>
      </c>
      <c r="D37" s="6">
        <f>SUM(D29:D36)</f>
        <v/>
      </c>
    </row>
    <row r="38">
      <c r="D38" s="2" t="n"/>
    </row>
    <row r="39">
      <c r="A39" s="3" t="inlineStr">
        <is>
          <t>E</t>
        </is>
      </c>
      <c r="B39" t="inlineStr">
        <is>
          <t>Intervalo interjornadas</t>
        </is>
      </c>
      <c r="D39" s="5" t="n">
        <v>38829.17672727272</v>
      </c>
    </row>
    <row r="40">
      <c r="B40" t="inlineStr">
        <is>
          <t>Reflexos sobre:</t>
        </is>
      </c>
      <c r="D40" s="2" t="n"/>
    </row>
    <row r="41">
      <c r="A41" s="3" t="inlineStr">
        <is>
          <t>E1</t>
        </is>
      </c>
      <c r="B41" t="inlineStr">
        <is>
          <t>DSR</t>
        </is>
      </c>
      <c r="D41" s="5" t="n">
        <v>5177.223563636363</v>
      </c>
    </row>
    <row r="42">
      <c r="A42" s="3" t="inlineStr">
        <is>
          <t>E2</t>
        </is>
      </c>
      <c r="B42" t="inlineStr">
        <is>
          <t>13º Salário Proporcional (10/12) 2025</t>
        </is>
      </c>
      <c r="D42" s="5" t="n">
        <v>2022.352954545454</v>
      </c>
    </row>
    <row r="43">
      <c r="A43" s="3" t="inlineStr">
        <is>
          <t>E3</t>
        </is>
      </c>
      <c r="B43" t="inlineStr">
        <is>
          <t>13º Salário Proporcional (07/12) 2026</t>
        </is>
      </c>
      <c r="D43" s="5" t="n">
        <v>1415.647068181818</v>
      </c>
    </row>
    <row r="44">
      <c r="A44" s="3" t="inlineStr">
        <is>
          <t>E4</t>
        </is>
      </c>
      <c r="B44" t="inlineStr">
        <is>
          <t>Férias + 1/3 2025/2026</t>
        </is>
      </c>
      <c r="D44" s="5" t="n">
        <v>3234.955786090909</v>
      </c>
    </row>
    <row r="45">
      <c r="A45" s="3" t="inlineStr">
        <is>
          <t>E5</t>
        </is>
      </c>
      <c r="B45" t="inlineStr">
        <is>
          <t>Férias proporcionais + 1/3 05/12</t>
        </is>
      </c>
      <c r="D45" s="5" t="n">
        <v>1347.898244204545</v>
      </c>
    </row>
    <row r="46">
      <c r="A46" s="3" t="inlineStr">
        <is>
          <t>E6</t>
        </is>
      </c>
      <c r="B46" t="inlineStr">
        <is>
          <t>FGTS + 40%</t>
        </is>
      </c>
      <c r="D46" s="5" t="n">
        <v>1478.184693065818</v>
      </c>
    </row>
    <row r="47">
      <c r="A47" s="1" t="inlineStr">
        <is>
          <t>SUBTOTAL</t>
        </is>
      </c>
      <c r="D47" s="6">
        <f>SUM(D39:D46)</f>
        <v/>
      </c>
    </row>
    <row r="48">
      <c r="D48" s="2" t="n"/>
    </row>
    <row r="49">
      <c r="A49" s="3" t="inlineStr">
        <is>
          <t>F</t>
        </is>
      </c>
      <c r="B49" t="inlineStr">
        <is>
          <t>Intervalo intrajornada suprimido (art. 71, § 4º, da CLT)</t>
        </is>
      </c>
      <c r="D49" s="5" t="n">
        <v>6629.371636363636</v>
      </c>
    </row>
    <row r="50">
      <c r="D50" s="2" t="n"/>
    </row>
    <row r="51">
      <c r="A51" s="3" t="inlineStr">
        <is>
          <t>G</t>
        </is>
      </c>
      <c r="B51" t="inlineStr">
        <is>
          <t>Intervalos de direção do art. 235-D da CLT</t>
        </is>
      </c>
      <c r="D51" s="5" t="n">
        <v>6629.371636363636</v>
      </c>
    </row>
    <row r="52">
      <c r="B52" t="inlineStr">
        <is>
          <t>Reflexos sobre:</t>
        </is>
      </c>
      <c r="D52" s="2" t="n"/>
    </row>
    <row r="53">
      <c r="A53" s="3" t="inlineStr">
        <is>
          <t>G1</t>
        </is>
      </c>
      <c r="B53" t="inlineStr">
        <is>
          <t>DSR</t>
        </is>
      </c>
      <c r="D53" s="5" t="n">
        <v>883.9162181818181</v>
      </c>
    </row>
    <row r="54">
      <c r="A54" s="3" t="inlineStr">
        <is>
          <t>G2</t>
        </is>
      </c>
      <c r="B54" t="inlineStr">
        <is>
          <t>13º Salário Proporcional (10/12) 2025</t>
        </is>
      </c>
      <c r="D54" s="5" t="n">
        <v>345.2797727272727</v>
      </c>
    </row>
    <row r="55">
      <c r="A55" s="3" t="inlineStr">
        <is>
          <t>G3</t>
        </is>
      </c>
      <c r="B55" t="inlineStr">
        <is>
          <t>13º Salário Proporcional (07/12) 2026</t>
        </is>
      </c>
      <c r="D55" s="5" t="n">
        <v>241.6958409090909</v>
      </c>
    </row>
    <row r="56">
      <c r="A56" s="3" t="inlineStr">
        <is>
          <t>G4</t>
        </is>
      </c>
      <c r="B56" t="inlineStr">
        <is>
          <t>Férias + 1/3 2025/2026</t>
        </is>
      </c>
      <c r="D56" s="5" t="n">
        <v>552.3095244545453</v>
      </c>
    </row>
    <row r="57">
      <c r="A57" s="3" t="inlineStr">
        <is>
          <t>G5</t>
        </is>
      </c>
      <c r="B57" t="inlineStr">
        <is>
          <t>Férias proporcionais + 1/3 05/12</t>
        </is>
      </c>
      <c r="D57" s="5" t="n">
        <v>230.1289685227272</v>
      </c>
    </row>
    <row r="58">
      <c r="A58" s="3" t="inlineStr">
        <is>
          <t>G6</t>
        </is>
      </c>
      <c r="B58" t="inlineStr">
        <is>
          <t>FGTS + 40%</t>
        </is>
      </c>
      <c r="D58" s="5" t="n">
        <v>252.3729963770909</v>
      </c>
    </row>
    <row r="59">
      <c r="A59" s="1" t="inlineStr">
        <is>
          <t>SUBTOTAL</t>
        </is>
      </c>
      <c r="D59" s="6">
        <f>SUM(D51:D58)</f>
        <v/>
      </c>
    </row>
    <row r="60">
      <c r="D60" s="2" t="n"/>
    </row>
    <row r="61">
      <c r="A61" s="3" t="inlineStr">
        <is>
          <t>H</t>
        </is>
      </c>
      <c r="B61" t="inlineStr">
        <is>
          <t>Domingos e feriados trabalhados (100%)</t>
        </is>
      </c>
      <c r="D61" s="5" t="n">
        <v>9810.130909090909</v>
      </c>
    </row>
    <row r="62">
      <c r="B62" t="inlineStr">
        <is>
          <t>Reflexos sobre:</t>
        </is>
      </c>
      <c r="D62" s="2" t="n"/>
    </row>
    <row r="63">
      <c r="A63" s="3" t="inlineStr">
        <is>
          <t>H1</t>
        </is>
      </c>
      <c r="B63" t="inlineStr">
        <is>
          <t>DSR</t>
        </is>
      </c>
      <c r="D63" s="5" t="n">
        <v>1308.017454545454</v>
      </c>
    </row>
    <row r="64">
      <c r="A64" s="3" t="inlineStr">
        <is>
          <t>H2</t>
        </is>
      </c>
      <c r="B64" t="inlineStr">
        <is>
          <t>13º Salário Proporcional (10/12) 2025</t>
        </is>
      </c>
      <c r="D64" s="5" t="n">
        <v>510.9443181818182</v>
      </c>
    </row>
    <row r="65">
      <c r="A65" s="3" t="inlineStr">
        <is>
          <t>H3</t>
        </is>
      </c>
      <c r="B65" t="inlineStr">
        <is>
          <t>13º Salário Proporcional (07/12) 2026</t>
        </is>
      </c>
      <c r="D65" s="5" t="n">
        <v>357.6610227272727</v>
      </c>
    </row>
    <row r="66">
      <c r="A66" s="3" t="inlineStr">
        <is>
          <t>H4</t>
        </is>
      </c>
      <c r="B66" t="inlineStr">
        <is>
          <t>Férias + 1/3 2025/2026</t>
        </is>
      </c>
      <c r="D66" s="5" t="n">
        <v>817.3065313636363</v>
      </c>
    </row>
    <row r="67">
      <c r="A67" s="3" t="inlineStr">
        <is>
          <t>H5</t>
        </is>
      </c>
      <c r="B67" t="inlineStr">
        <is>
          <t>Férias proporcionais + 1/3 05/12</t>
        </is>
      </c>
      <c r="D67" s="5" t="n">
        <v>340.5443880681818</v>
      </c>
    </row>
    <row r="68">
      <c r="A68" s="3" t="inlineStr">
        <is>
          <t>H6</t>
        </is>
      </c>
      <c r="B68" t="inlineStr">
        <is>
          <t>FGTS + 40%</t>
        </is>
      </c>
      <c r="D68" s="5" t="n">
        <v>373.4610560672727</v>
      </c>
    </row>
    <row r="69">
      <c r="A69" s="1" t="inlineStr">
        <is>
          <t>SUBTOTAL</t>
        </is>
      </c>
      <c r="D69" s="6">
        <f>SUM(D61:D68)</f>
        <v/>
      </c>
    </row>
    <row r="70">
      <c r="D70" s="2" t="n"/>
    </row>
    <row r="71">
      <c r="A71" s="3" t="inlineStr">
        <is>
          <t>I</t>
        </is>
      </c>
      <c r="B71" t="inlineStr">
        <is>
          <t>Irregular concessão de folgas e descanso de 35 horas</t>
        </is>
      </c>
      <c r="D71" s="5" t="n">
        <v>3503.618181818182</v>
      </c>
    </row>
    <row r="72">
      <c r="B72" t="inlineStr">
        <is>
          <t>Reflexos sobre:</t>
        </is>
      </c>
      <c r="D72" s="2" t="n"/>
    </row>
    <row r="73">
      <c r="A73" s="3" t="inlineStr">
        <is>
          <t>I1</t>
        </is>
      </c>
      <c r="B73" t="inlineStr">
        <is>
          <t>DSR</t>
        </is>
      </c>
      <c r="D73" s="5" t="n">
        <v>467.1490909090909</v>
      </c>
    </row>
    <row r="74">
      <c r="A74" s="3" t="inlineStr">
        <is>
          <t>I2</t>
        </is>
      </c>
      <c r="B74" t="inlineStr">
        <is>
          <t>13º Salário Proporcional (10/12) 2025</t>
        </is>
      </c>
      <c r="D74" s="5" t="n">
        <v>182.4801136363636</v>
      </c>
    </row>
    <row r="75">
      <c r="A75" s="3" t="inlineStr">
        <is>
          <t>I3</t>
        </is>
      </c>
      <c r="B75" t="inlineStr">
        <is>
          <t>13º Salário Proporcional (07/12) 2026</t>
        </is>
      </c>
      <c r="D75" s="5" t="n">
        <v>127.7360795454545</v>
      </c>
    </row>
    <row r="76">
      <c r="A76" s="3" t="inlineStr">
        <is>
          <t>I4</t>
        </is>
      </c>
      <c r="B76" t="inlineStr">
        <is>
          <t>Férias + 1/3 2025/2026</t>
        </is>
      </c>
      <c r="D76" s="5" t="n">
        <v>291.8951897727272</v>
      </c>
    </row>
    <row r="77">
      <c r="A77" s="3" t="inlineStr">
        <is>
          <t>I5</t>
        </is>
      </c>
      <c r="B77" t="inlineStr">
        <is>
          <t>Férias proporcionais + 1/3 05/12</t>
        </is>
      </c>
      <c r="D77" s="5" t="n">
        <v>121.6229957386363</v>
      </c>
    </row>
    <row r="78">
      <c r="A78" s="3" t="inlineStr">
        <is>
          <t>I6</t>
        </is>
      </c>
      <c r="B78" t="inlineStr">
        <is>
          <t>FGTS + 40%</t>
        </is>
      </c>
      <c r="D78" s="5" t="n">
        <v>133.3789485954545</v>
      </c>
    </row>
    <row r="79">
      <c r="A79" s="1" t="inlineStr">
        <is>
          <t>SUBTOTAL</t>
        </is>
      </c>
      <c r="D79" s="6">
        <f>SUM(D71:D78)</f>
        <v/>
      </c>
    </row>
    <row r="80">
      <c r="D80" s="2" t="n"/>
    </row>
    <row r="81">
      <c r="A81" s="3" t="inlineStr">
        <is>
          <t>J</t>
        </is>
      </c>
      <c r="B81" t="inlineStr">
        <is>
          <t>Integração das horas de espera — já calculadas nas horas extras</t>
        </is>
      </c>
      <c r="D81" s="2" t="inlineStr">
        <is>
          <t>Declaratório</t>
        </is>
      </c>
    </row>
    <row r="82">
      <c r="A82" s="3" t="inlineStr">
        <is>
          <t>K</t>
        </is>
      </c>
      <c r="B82" t="inlineStr">
        <is>
          <t>Devolução dos descontos indevidos (multas de trânsito)</t>
        </is>
      </c>
      <c r="D82" s="5" t="n">
        <v>1107.58</v>
      </c>
    </row>
    <row r="83">
      <c r="A83" s="3" t="inlineStr">
        <is>
          <t>L</t>
        </is>
      </c>
      <c r="B83" t="inlineStr">
        <is>
          <t>Indenização compensatória de 40% do FGTS</t>
        </is>
      </c>
      <c r="D83" s="5" t="n">
        <v>2516.19</v>
      </c>
    </row>
    <row r="84">
      <c r="A84" s="3" t="inlineStr">
        <is>
          <t>L1</t>
        </is>
      </c>
      <c r="B84" t="inlineStr">
        <is>
          <t>Diferenças de depósitos do FGTS</t>
        </is>
      </c>
      <c r="D84" s="5" t="n">
        <v>1000</v>
      </c>
    </row>
    <row r="85">
      <c r="A85" s="3" t="inlineStr">
        <is>
          <t>M</t>
        </is>
      </c>
      <c r="B85" t="inlineStr">
        <is>
          <t>Dano existencial</t>
        </is>
      </c>
      <c r="D85" s="5" t="n">
        <v>20000</v>
      </c>
    </row>
    <row r="86">
      <c r="A86" s="1" t="inlineStr">
        <is>
          <t>SUBTOTAL GERAL</t>
        </is>
      </c>
      <c r="D86" s="7" t="n">
        <v>250629.9648584889</v>
      </c>
    </row>
    <row r="87">
      <c r="A87" s="3" t="inlineStr">
        <is>
          <t>N</t>
        </is>
      </c>
      <c r="B87" t="inlineStr">
        <is>
          <t>Honorários de sucumbência (15%)</t>
        </is>
      </c>
      <c r="D87" s="2">
        <f>D86*0.15</f>
        <v/>
      </c>
    </row>
    <row r="88">
      <c r="A88" s="1" t="inlineStr">
        <is>
          <t>TOTAL GERAL</t>
        </is>
      </c>
      <c r="D88" s="6">
        <f>D86+D87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2026-08-31T15:11:24Z</dcterms:created>
  <dcterms:modified xmlns:dcterms="http://purl.org/dc/terms/" xmlns:xsi="http://www.w3.org/2001/XMLSchema-instance" xsi:type="dcterms:W3CDTF">2026-08-31T15:11:24Z</dcterms:modified>
</cp:coreProperties>
</file>